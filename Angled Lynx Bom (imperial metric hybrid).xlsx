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ynx BOM" sheetId="1" r:id="rId5"/>
    <sheet state="visible" name="Bar Dimensions" sheetId="2" r:id="rId6"/>
    <sheet state="visible" name="Other Manufactured Parts" sheetId="3" r:id="rId7"/>
  </sheets>
  <definedNames/>
  <calcPr/>
</workbook>
</file>

<file path=xl/sharedStrings.xml><?xml version="1.0" encoding="utf-8"?>
<sst xmlns="http://schemas.openxmlformats.org/spreadsheetml/2006/main" count="103" uniqueCount="91">
  <si>
    <t>Updated 3/25/2023</t>
  </si>
  <si>
    <t>Angled Lynx Hardware List (Imperial and Metric)</t>
  </si>
  <si>
    <t>Name</t>
  </si>
  <si>
    <t>Lynx Quantity</t>
  </si>
  <si>
    <t>Quantity</t>
  </si>
  <si>
    <t>Raw Material</t>
  </si>
  <si>
    <t>Source</t>
  </si>
  <si>
    <t>Length</t>
  </si>
  <si>
    <t>Supplier Cost</t>
  </si>
  <si>
    <t>Link</t>
  </si>
  <si>
    <t>Supplier Quantity</t>
  </si>
  <si>
    <t>Cost Per Lynx</t>
  </si>
  <si>
    <t>Notes</t>
  </si>
  <si>
    <t>Hex Standoff, 6-32, 5/8"</t>
  </si>
  <si>
    <t>Spring guide</t>
  </si>
  <si>
    <t>0.625 OD 0.527" ID aluminum tube or similar</t>
  </si>
  <si>
    <t>3.5"</t>
  </si>
  <si>
    <t>https://www.orangealuminum.com/round-tubes-and-rods-oa6923-6m.html</t>
  </si>
  <si>
    <t>91780A129</t>
  </si>
  <si>
    <t>Barrel</t>
  </si>
  <si>
    <t>15.5"-18.5"</t>
  </si>
  <si>
    <t>Plunger threaded rod</t>
  </si>
  <si>
    <t>8-32 threaded rod, steel or similar</t>
  </si>
  <si>
    <t>5.5"</t>
  </si>
  <si>
    <t>#6 Self Tapping Screw</t>
  </si>
  <si>
    <t>98837A049</t>
  </si>
  <si>
    <t>90380A148</t>
  </si>
  <si>
    <t>Plunger tube</t>
  </si>
  <si>
    <t>1.5" OD 1.375" ID polycarbonate tube</t>
  </si>
  <si>
    <t>8"</t>
  </si>
  <si>
    <t>8585K207</t>
  </si>
  <si>
    <t>Nylon 6-32 Thumbscrew</t>
  </si>
  <si>
    <t>94323A301</t>
  </si>
  <si>
    <t>6-32 x 3/16" Pan Screw</t>
  </si>
  <si>
    <t>6-32 x 1/4" Pan Screw</t>
  </si>
  <si>
    <t>90272A144</t>
  </si>
  <si>
    <t>6-32 x 1/4" Pan Screw w/ Lock Washer</t>
  </si>
  <si>
    <t>90402A144</t>
  </si>
  <si>
    <t>1 extra</t>
  </si>
  <si>
    <t>6-32 x 5/8" Pan Screw</t>
  </si>
  <si>
    <t>90272A150</t>
  </si>
  <si>
    <t>6-32 Nut (Narrow)</t>
  </si>
  <si>
    <t>90760A007</t>
  </si>
  <si>
    <t>8-32 Flanged Locknut</t>
  </si>
  <si>
    <t>93298A102</t>
  </si>
  <si>
    <t>M3 x 12 mm set screw</t>
  </si>
  <si>
    <t>For Articulating Ram mount</t>
  </si>
  <si>
    <t>M3 x 20 mm set screw</t>
  </si>
  <si>
    <t>for rear mag relese lever</t>
  </si>
  <si>
    <t>M3 x 10 mm button head screw</t>
  </si>
  <si>
    <t>for ram</t>
  </si>
  <si>
    <t>M3 x 6 mm button head screw</t>
  </si>
  <si>
    <t>92095A179</t>
  </si>
  <si>
    <t>For Siderails</t>
  </si>
  <si>
    <t xml:space="preserve">M3 x 20 mm button head screw </t>
  </si>
  <si>
    <t>92095A185</t>
  </si>
  <si>
    <t xml:space="preserve">M3 x 35 mm button head screw </t>
  </si>
  <si>
    <t>92095A201</t>
  </si>
  <si>
    <t>only needed for using the stock spacer</t>
  </si>
  <si>
    <t>M3 heat set inserts</t>
  </si>
  <si>
    <t>M6 x 14 mm screw</t>
  </si>
  <si>
    <t>M6 nut</t>
  </si>
  <si>
    <t>Washer for Catch Reinforcement</t>
  </si>
  <si>
    <t>https://www.superiorwasher.com/washer/650-3959-059/650-3959-059.html?cid=</t>
  </si>
  <si>
    <t>Not totally necessary if using weaker springs</t>
  </si>
  <si>
    <t>1/4-20x3/8"</t>
  </si>
  <si>
    <t>90272A535</t>
  </si>
  <si>
    <t>Dash 016 Oring</t>
  </si>
  <si>
    <t>9452K6</t>
  </si>
  <si>
    <t>2 extra</t>
  </si>
  <si>
    <t>Dash 123 Oring</t>
  </si>
  <si>
    <t>9452K87</t>
  </si>
  <si>
    <t>Dash 202 Oring</t>
  </si>
  <si>
    <t>9452K183</t>
  </si>
  <si>
    <t>Quick Release Pin</t>
  </si>
  <si>
    <t>90156A208</t>
  </si>
  <si>
    <t>Small Pin</t>
  </si>
  <si>
    <t>98381A441</t>
  </si>
  <si>
    <t>Small Spring</t>
  </si>
  <si>
    <t>9657K644</t>
  </si>
  <si>
    <t>Main Spring</t>
  </si>
  <si>
    <t>Varies</t>
  </si>
  <si>
    <t>Lynx V2 Manufactured List</t>
  </si>
  <si>
    <t>Lynx Length (Actual)</t>
  </si>
  <si>
    <t>Lynx Length (Inventory)</t>
  </si>
  <si>
    <t>Flatbar</t>
  </si>
  <si>
    <t>https://www.orangealuminum.com/catalog/product/view/id/1461/s/rectangular-bars-oa1058/category/136/#150=52&amp;149=51</t>
  </si>
  <si>
    <t>Barrel Material</t>
  </si>
  <si>
    <t>Spring Guide</t>
  </si>
  <si>
    <t>Plunger Tube</t>
  </si>
  <si>
    <t>8-32 Threaded Rod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</si>
</sst>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1155CC"/>
    </font>
    <font>
      <u/>
      <color rgb="FF1155CC"/>
    </font>
    <font>
      <u/>
      <sz val="9.0"/>
      <color rgb="FF1155CC"/>
      <name val="Arial"/>
    </font>
    <font>
      <u/>
      <sz val="9.0"/>
      <color rgb="FF1155CC"/>
      <name val="Arial"/>
    </font>
    <font>
      <u/>
      <color rgb="FF1155CC"/>
      <name val="Roboto"/>
    </font>
    <font>
      <u/>
      <color rgb="FF0000FF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0000FF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3" fillId="0" fontId="1" numFmtId="164" xfId="0" applyBorder="1" applyFont="1" applyNumberFormat="1"/>
    <xf borderId="4" fillId="0" fontId="1" numFmtId="0" xfId="0" applyAlignment="1" applyBorder="1" applyFont="1">
      <alignment readingOrder="0"/>
    </xf>
    <xf borderId="5" fillId="2" fontId="6" numFmtId="0" xfId="0" applyAlignment="1" applyBorder="1" applyFill="1" applyFont="1">
      <alignment readingOrder="0"/>
    </xf>
    <xf borderId="0" fillId="0" fontId="1" numFmtId="164" xfId="0" applyAlignment="1" applyFont="1" applyNumberFormat="1">
      <alignment readingOrder="0"/>
    </xf>
    <xf borderId="6" fillId="0" fontId="1" numFmtId="164" xfId="0" applyBorder="1" applyFont="1" applyNumberFormat="1"/>
    <xf borderId="0" fillId="2" fontId="7" numFmtId="0" xfId="0" applyAlignment="1" applyFill="1" applyFont="1">
      <alignment readingOrder="0"/>
    </xf>
    <xf borderId="0" fillId="2" fontId="8" numFmtId="0" xfId="0" applyAlignment="1" applyFill="1" applyFont="1">
      <alignment readingOrder="0"/>
    </xf>
    <xf borderId="6" fillId="3" fontId="1" numFmtId="164" xfId="0" applyBorder="1" applyFill="1" applyFont="1" applyNumberFormat="1"/>
    <xf borderId="0" fillId="0" fontId="9" numFmtId="0" xfId="0" applyAlignment="1" applyFont="1">
      <alignment readingOrder="0"/>
    </xf>
    <xf borderId="0" fillId="2" fontId="10" numFmtId="0" xfId="0" applyAlignment="1" applyFill="1" applyFont="1">
      <alignment horizontal="left" readingOrder="0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7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8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readingOrder="0"/>
    </xf>
    <xf borderId="0" fillId="0" fontId="13" numFmtId="0" xfId="0" applyAlignment="1" applyFont="1">
      <alignment readingOrder="0"/>
    </xf>
    <xf borderId="8" fillId="0" fontId="1" numFmtId="164" xfId="0" applyBorder="1" applyFont="1" applyNumberFormat="1"/>
    <xf borderId="0" fillId="0" fontId="14" numFmtId="0" xfId="0" applyAlignment="1" applyFont="1">
      <alignment horizontal="right" readingOrder="0" shrinkToFit="0" wrapText="1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229975" cy="8543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rangealuminum.com/FB63125500/" TargetMode="External"/><Relationship Id="rId22" Type="http://schemas.openxmlformats.org/officeDocument/2006/relationships/hyperlink" Target="https://www.orangealuminum.com/round-tubes-and-rods-oa6923-6m.html" TargetMode="External"/><Relationship Id="rId21" Type="http://schemas.openxmlformats.org/officeDocument/2006/relationships/hyperlink" Target="https://orangealuminum.com/RT63625531050/" TargetMode="External"/><Relationship Id="rId24" Type="http://schemas.openxmlformats.org/officeDocument/2006/relationships/hyperlink" Target="https://www.mcmaster.com/98837A049/" TargetMode="External"/><Relationship Id="rId23" Type="http://schemas.openxmlformats.org/officeDocument/2006/relationships/hyperlink" Target="https://www.mcmaster.com/8585K207/" TargetMode="External"/><Relationship Id="rId1" Type="http://schemas.openxmlformats.org/officeDocument/2006/relationships/hyperlink" Target="https://www.mcmaster.com/91780A129/" TargetMode="External"/><Relationship Id="rId2" Type="http://schemas.openxmlformats.org/officeDocument/2006/relationships/hyperlink" Target="https://www.mcmaster.com/90380A148/" TargetMode="External"/><Relationship Id="rId3" Type="http://schemas.openxmlformats.org/officeDocument/2006/relationships/hyperlink" Target="https://www.mcmaster.com/94323A301/" TargetMode="External"/><Relationship Id="rId4" Type="http://schemas.openxmlformats.org/officeDocument/2006/relationships/hyperlink" Target="https://www.mcmaster.com/90272A144/" TargetMode="External"/><Relationship Id="rId9" Type="http://schemas.openxmlformats.org/officeDocument/2006/relationships/hyperlink" Target="https://www.mcmaster.com/92095A179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mcmaster.com/90402A144/" TargetMode="External"/><Relationship Id="rId6" Type="http://schemas.openxmlformats.org/officeDocument/2006/relationships/hyperlink" Target="https://www.mcmaster.com/90272A150/" TargetMode="External"/><Relationship Id="rId7" Type="http://schemas.openxmlformats.org/officeDocument/2006/relationships/hyperlink" Target="https://www.mcmaster.com/90760A007/" TargetMode="External"/><Relationship Id="rId8" Type="http://schemas.openxmlformats.org/officeDocument/2006/relationships/hyperlink" Target="https://www.mcmaster.com/93298A102/" TargetMode="External"/><Relationship Id="rId11" Type="http://schemas.openxmlformats.org/officeDocument/2006/relationships/hyperlink" Target="https://www.mcmaster.com/92095A201/" TargetMode="External"/><Relationship Id="rId10" Type="http://schemas.openxmlformats.org/officeDocument/2006/relationships/hyperlink" Target="https://www.mcmaster.com/92095A185/" TargetMode="External"/><Relationship Id="rId13" Type="http://schemas.openxmlformats.org/officeDocument/2006/relationships/hyperlink" Target="https://www.mcmaster.com/90272A535/" TargetMode="External"/><Relationship Id="rId12" Type="http://schemas.openxmlformats.org/officeDocument/2006/relationships/hyperlink" Target="https://www.superiorwasher.com/washer/650-3959-059/650-3959-059.html?cid=" TargetMode="External"/><Relationship Id="rId15" Type="http://schemas.openxmlformats.org/officeDocument/2006/relationships/hyperlink" Target="https://www.mcmaster.com/9452K87/" TargetMode="External"/><Relationship Id="rId14" Type="http://schemas.openxmlformats.org/officeDocument/2006/relationships/hyperlink" Target="https://www.mcmaster.com/9452K6/" TargetMode="External"/><Relationship Id="rId17" Type="http://schemas.openxmlformats.org/officeDocument/2006/relationships/hyperlink" Target="https://www.mcmaster.com/90156A208/" TargetMode="External"/><Relationship Id="rId16" Type="http://schemas.openxmlformats.org/officeDocument/2006/relationships/hyperlink" Target="https://www.mcmaster.com/9452K183/" TargetMode="External"/><Relationship Id="rId19" Type="http://schemas.openxmlformats.org/officeDocument/2006/relationships/hyperlink" Target="https://www.mcmaster.com/9657K644/" TargetMode="External"/><Relationship Id="rId18" Type="http://schemas.openxmlformats.org/officeDocument/2006/relationships/hyperlink" Target="https://www.mcmaster.com/98381A441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rangealuminum.com/RT63625531050/" TargetMode="External"/><Relationship Id="rId2" Type="http://schemas.openxmlformats.org/officeDocument/2006/relationships/hyperlink" Target="https://orangealuminum.com/RT63625531050/" TargetMode="External"/><Relationship Id="rId3" Type="http://schemas.openxmlformats.org/officeDocument/2006/relationships/hyperlink" Target="https://www.mcmaster.com/98837A049/" TargetMode="External"/><Relationship Id="rId4" Type="http://schemas.openxmlformats.org/officeDocument/2006/relationships/hyperlink" Target="https://www.mcmaster.com/8585K207/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5"/>
    <col customWidth="1" min="2" max="2" width="29.75"/>
    <col customWidth="1" min="3" max="3" width="17.38"/>
    <col customWidth="1" hidden="1" min="4" max="4" width="18.0"/>
    <col customWidth="1" min="5" max="5" width="15.25"/>
    <col customWidth="1" min="7" max="7" width="13.38"/>
    <col customWidth="1" min="9" max="9" width="33.88"/>
  </cols>
  <sheetData>
    <row r="1">
      <c r="B1" s="1" t="s">
        <v>0</v>
      </c>
      <c r="F1" s="2"/>
      <c r="H1" s="2"/>
    </row>
    <row r="2" ht="26.25" customHeight="1">
      <c r="A2" s="4"/>
      <c r="B2" s="5" t="s">
        <v>1</v>
      </c>
      <c r="C2" s="6" t="s">
        <v>3</v>
      </c>
      <c r="E2" s="6" t="s">
        <v>6</v>
      </c>
      <c r="F2" s="7" t="s">
        <v>8</v>
      </c>
      <c r="G2" s="6" t="s">
        <v>10</v>
      </c>
      <c r="H2" s="7" t="s">
        <v>11</v>
      </c>
      <c r="I2" s="6" t="s">
        <v>12</v>
      </c>
    </row>
    <row r="3">
      <c r="B3" s="8" t="s">
        <v>13</v>
      </c>
      <c r="C3" s="9">
        <v>2.0</v>
      </c>
      <c r="E3" s="10" t="s">
        <v>18</v>
      </c>
      <c r="F3" s="11">
        <v>3.3</v>
      </c>
      <c r="G3" s="9">
        <v>10.0</v>
      </c>
      <c r="H3" s="13">
        <f t="shared" ref="H3:H28" si="1">C3/G3*F3</f>
        <v>0.66</v>
      </c>
    </row>
    <row r="4">
      <c r="B4" s="14" t="s">
        <v>24</v>
      </c>
      <c r="C4" s="1">
        <v>2.0</v>
      </c>
      <c r="E4" s="12" t="s">
        <v>26</v>
      </c>
      <c r="F4" s="16">
        <v>9.81</v>
      </c>
      <c r="G4" s="1">
        <v>100.0</v>
      </c>
      <c r="H4" s="17">
        <f t="shared" si="1"/>
        <v>0.1962</v>
      </c>
    </row>
    <row r="5">
      <c r="B5" s="14" t="s">
        <v>31</v>
      </c>
      <c r="C5" s="1">
        <v>2.0</v>
      </c>
      <c r="E5" s="12" t="s">
        <v>32</v>
      </c>
      <c r="F5" s="16">
        <v>12.99</v>
      </c>
      <c r="G5" s="1">
        <v>50.0</v>
      </c>
      <c r="H5" s="17">
        <f t="shared" si="1"/>
        <v>0.5196</v>
      </c>
    </row>
    <row r="6">
      <c r="B6" s="14" t="s">
        <v>33</v>
      </c>
      <c r="C6" s="1">
        <v>2.0</v>
      </c>
      <c r="E6" s="19" t="str">
        <f>HYPERLINK("https://www.mcmaster.com/product/91772A143", "91772A143")</f>
        <v>91772A143</v>
      </c>
      <c r="F6" s="16">
        <v>8.92</v>
      </c>
      <c r="G6" s="1">
        <v>100.0</v>
      </c>
      <c r="H6" s="17">
        <f t="shared" si="1"/>
        <v>0.1784</v>
      </c>
    </row>
    <row r="7">
      <c r="B7" s="14" t="s">
        <v>34</v>
      </c>
      <c r="C7" s="1">
        <v>4.0</v>
      </c>
      <c r="E7" s="19" t="s">
        <v>35</v>
      </c>
      <c r="F7" s="16">
        <v>1.88</v>
      </c>
      <c r="G7" s="1">
        <v>100.0</v>
      </c>
      <c r="H7" s="17">
        <f t="shared" si="1"/>
        <v>0.0752</v>
      </c>
    </row>
    <row r="8">
      <c r="B8" s="14" t="s">
        <v>36</v>
      </c>
      <c r="C8" s="1">
        <v>5.0</v>
      </c>
      <c r="E8" s="12" t="s">
        <v>37</v>
      </c>
      <c r="F8" s="16">
        <v>7.09</v>
      </c>
      <c r="G8" s="1">
        <v>100.0</v>
      </c>
      <c r="H8" s="17">
        <f t="shared" si="1"/>
        <v>0.3545</v>
      </c>
      <c r="I8" s="1" t="s">
        <v>38</v>
      </c>
    </row>
    <row r="9">
      <c r="B9" s="14" t="s">
        <v>39</v>
      </c>
      <c r="C9" s="1">
        <v>2.0</v>
      </c>
      <c r="E9" s="12" t="s">
        <v>40</v>
      </c>
      <c r="F9" s="16">
        <v>3.04</v>
      </c>
      <c r="G9" s="1">
        <v>100.0</v>
      </c>
      <c r="H9" s="17">
        <f t="shared" si="1"/>
        <v>0.0608</v>
      </c>
    </row>
    <row r="10">
      <c r="B10" s="14" t="s">
        <v>41</v>
      </c>
      <c r="C10" s="1">
        <v>2.0</v>
      </c>
      <c r="E10" s="12" t="s">
        <v>42</v>
      </c>
      <c r="F10" s="16">
        <v>3.13</v>
      </c>
      <c r="G10" s="1">
        <v>100.0</v>
      </c>
      <c r="H10" s="17">
        <f t="shared" si="1"/>
        <v>0.0626</v>
      </c>
    </row>
    <row r="11">
      <c r="B11" s="14" t="s">
        <v>43</v>
      </c>
      <c r="C11" s="1">
        <v>2.0</v>
      </c>
      <c r="E11" s="12" t="s">
        <v>44</v>
      </c>
      <c r="F11" s="16">
        <v>18.8</v>
      </c>
      <c r="G11" s="1">
        <v>100.0</v>
      </c>
      <c r="H11" s="20">
        <f t="shared" si="1"/>
        <v>0.376</v>
      </c>
    </row>
    <row r="12">
      <c r="B12" s="14" t="s">
        <v>45</v>
      </c>
      <c r="C12" s="1">
        <v>1.0</v>
      </c>
      <c r="E12" s="12" t="str">
        <f>HYPERLINK("https://www.mcmaster.com/product/92015A107", "92015A107")</f>
        <v>92015A107</v>
      </c>
      <c r="F12" s="16">
        <v>12.2</v>
      </c>
      <c r="G12" s="1">
        <v>50.0</v>
      </c>
      <c r="H12" s="20">
        <f t="shared" si="1"/>
        <v>0.244</v>
      </c>
      <c r="I12" s="1" t="s">
        <v>46</v>
      </c>
    </row>
    <row r="13">
      <c r="B13" s="14" t="s">
        <v>47</v>
      </c>
      <c r="C13" s="1">
        <v>2.0</v>
      </c>
      <c r="E13" s="12" t="str">
        <f>HYPERLINK("https://www.mcmaster.com/product/92015A109", "92015A109")</f>
        <v>92015A109</v>
      </c>
      <c r="F13" s="16">
        <v>7.45</v>
      </c>
      <c r="G13" s="1">
        <v>25.0</v>
      </c>
      <c r="H13" s="2">
        <f t="shared" si="1"/>
        <v>0.596</v>
      </c>
      <c r="I13" s="1" t="s">
        <v>48</v>
      </c>
    </row>
    <row r="14">
      <c r="B14" s="14" t="s">
        <v>49</v>
      </c>
      <c r="C14" s="1">
        <v>1.0</v>
      </c>
      <c r="E14" s="12" t="str">
        <f>HYPERLINK("https://www.mcmaster.com/product/92095A182", "92095A182")</f>
        <v>92095A182</v>
      </c>
      <c r="F14" s="16">
        <v>7.19</v>
      </c>
      <c r="G14" s="1">
        <v>100.0</v>
      </c>
      <c r="H14" s="20">
        <f t="shared" si="1"/>
        <v>0.0719</v>
      </c>
      <c r="I14" s="1" t="s">
        <v>50</v>
      </c>
    </row>
    <row r="15">
      <c r="B15" s="14" t="s">
        <v>51</v>
      </c>
      <c r="C15" s="1">
        <v>4.0</v>
      </c>
      <c r="E15" s="21" t="s">
        <v>52</v>
      </c>
      <c r="F15" s="16">
        <v>5.83</v>
      </c>
      <c r="G15" s="1">
        <v>100.0</v>
      </c>
      <c r="H15" s="20">
        <f t="shared" si="1"/>
        <v>0.2332</v>
      </c>
      <c r="I15" s="1" t="s">
        <v>53</v>
      </c>
    </row>
    <row r="16">
      <c r="B16" s="14" t="s">
        <v>54</v>
      </c>
      <c r="C16" s="1">
        <v>2.0</v>
      </c>
      <c r="E16" s="21" t="s">
        <v>55</v>
      </c>
      <c r="F16" s="16">
        <v>5.3</v>
      </c>
      <c r="G16" s="1">
        <v>50.0</v>
      </c>
      <c r="H16" s="20">
        <f t="shared" si="1"/>
        <v>0.212</v>
      </c>
      <c r="I16" s="1"/>
    </row>
    <row r="17">
      <c r="B17" s="14" t="s">
        <v>56</v>
      </c>
      <c r="C17" s="1">
        <v>2.0</v>
      </c>
      <c r="E17" s="21" t="s">
        <v>57</v>
      </c>
      <c r="F17" s="16">
        <v>4.02</v>
      </c>
      <c r="G17" s="1">
        <v>50.0</v>
      </c>
      <c r="H17" s="20">
        <f t="shared" si="1"/>
        <v>0.1608</v>
      </c>
      <c r="I17" s="1" t="s">
        <v>58</v>
      </c>
    </row>
    <row r="18">
      <c r="B18" s="14" t="s">
        <v>59</v>
      </c>
      <c r="C18" s="1">
        <v>7.0</v>
      </c>
      <c r="E18" s="12" t="str">
        <f>HYPERLINK("https://www.mcmaster.com/product/94459A130", "94459A130")</f>
        <v>94459A130</v>
      </c>
      <c r="F18" s="16">
        <v>12.65</v>
      </c>
      <c r="G18" s="1">
        <v>50.0</v>
      </c>
      <c r="H18" s="20">
        <f t="shared" si="1"/>
        <v>1.771</v>
      </c>
      <c r="I18" s="1"/>
    </row>
    <row r="19">
      <c r="B19" s="14" t="s">
        <v>60</v>
      </c>
      <c r="C19" s="1">
        <v>1.0</v>
      </c>
      <c r="E19" s="12" t="str">
        <f>HYPERLINK("https://www.mcmaster.com/product/92000A210", "92000A210")</f>
        <v>92000A210</v>
      </c>
      <c r="F19" s="16">
        <v>8.69</v>
      </c>
      <c r="G19" s="1">
        <v>25.0</v>
      </c>
      <c r="H19" s="20">
        <f t="shared" si="1"/>
        <v>0.3476</v>
      </c>
      <c r="I19" s="1"/>
    </row>
    <row r="20">
      <c r="B20" s="14" t="s">
        <v>61</v>
      </c>
      <c r="C20" s="1">
        <v>1.0</v>
      </c>
      <c r="E20" s="12" t="str">
        <f>HYPERLINK("https://www.mcmaster.com/product/90591A151", "90591A151")</f>
        <v>90591A151</v>
      </c>
      <c r="F20" s="16">
        <v>3.14</v>
      </c>
      <c r="G20" s="1">
        <v>100.0</v>
      </c>
      <c r="H20" s="20">
        <f t="shared" si="1"/>
        <v>0.0314</v>
      </c>
      <c r="I20" s="1"/>
    </row>
    <row r="21">
      <c r="B21" s="14" t="s">
        <v>62</v>
      </c>
      <c r="C21" s="1">
        <v>1.0</v>
      </c>
      <c r="E21" s="12" t="s">
        <v>63</v>
      </c>
      <c r="F21" s="16">
        <v>216.84</v>
      </c>
      <c r="G21" s="1">
        <v>500.0</v>
      </c>
      <c r="H21" s="20">
        <f t="shared" si="1"/>
        <v>0.43368</v>
      </c>
      <c r="I21" s="1" t="s">
        <v>64</v>
      </c>
    </row>
    <row r="22">
      <c r="B22" s="14" t="s">
        <v>65</v>
      </c>
      <c r="C22" s="1">
        <v>1.0</v>
      </c>
      <c r="E22" s="12" t="s">
        <v>66</v>
      </c>
      <c r="F22" s="16">
        <v>8.42</v>
      </c>
      <c r="G22" s="1">
        <v>100.0</v>
      </c>
      <c r="H22" s="17">
        <f t="shared" si="1"/>
        <v>0.0842</v>
      </c>
    </row>
    <row r="23">
      <c r="B23" s="14" t="s">
        <v>67</v>
      </c>
      <c r="C23" s="1">
        <v>4.0</v>
      </c>
      <c r="E23" s="12" t="s">
        <v>68</v>
      </c>
      <c r="F23" s="16">
        <v>5.59</v>
      </c>
      <c r="G23" s="1">
        <v>100.0</v>
      </c>
      <c r="H23" s="17">
        <f t="shared" si="1"/>
        <v>0.2236</v>
      </c>
      <c r="I23" s="1" t="s">
        <v>69</v>
      </c>
    </row>
    <row r="24">
      <c r="B24" s="14" t="s">
        <v>70</v>
      </c>
      <c r="C24" s="1">
        <v>2.0</v>
      </c>
      <c r="E24" s="12" t="s">
        <v>71</v>
      </c>
      <c r="F24" s="16">
        <v>8.79</v>
      </c>
      <c r="G24" s="1">
        <v>100.0</v>
      </c>
      <c r="H24" s="17">
        <f t="shared" si="1"/>
        <v>0.1758</v>
      </c>
    </row>
    <row r="25">
      <c r="B25" s="14" t="s">
        <v>72</v>
      </c>
      <c r="C25" s="1">
        <v>4.0</v>
      </c>
      <c r="E25" s="22" t="s">
        <v>73</v>
      </c>
      <c r="F25" s="16">
        <v>4.26</v>
      </c>
      <c r="G25" s="1">
        <v>100.0</v>
      </c>
      <c r="H25" s="17">
        <f t="shared" si="1"/>
        <v>0.1704</v>
      </c>
      <c r="I25" s="1" t="s">
        <v>69</v>
      </c>
    </row>
    <row r="26">
      <c r="B26" s="14" t="s">
        <v>74</v>
      </c>
      <c r="C26" s="1">
        <v>2.0</v>
      </c>
      <c r="E26" s="19" t="s">
        <v>75</v>
      </c>
      <c r="F26" s="16">
        <v>6.8</v>
      </c>
      <c r="G26" s="1">
        <v>10.0</v>
      </c>
      <c r="H26" s="17">
        <f t="shared" si="1"/>
        <v>1.36</v>
      </c>
    </row>
    <row r="27">
      <c r="B27" s="23" t="s">
        <v>76</v>
      </c>
      <c r="C27" s="24">
        <v>3.0</v>
      </c>
      <c r="E27" s="25" t="s">
        <v>77</v>
      </c>
      <c r="F27" s="16">
        <v>6.96</v>
      </c>
      <c r="G27" s="1">
        <v>50.0</v>
      </c>
      <c r="H27" s="17">
        <f t="shared" si="1"/>
        <v>0.4176</v>
      </c>
      <c r="I27" s="1" t="s">
        <v>38</v>
      </c>
    </row>
    <row r="28">
      <c r="B28" s="14" t="s">
        <v>78</v>
      </c>
      <c r="C28" s="1">
        <v>4.0</v>
      </c>
      <c r="E28" s="22" t="s">
        <v>79</v>
      </c>
      <c r="F28" s="16">
        <v>6.13</v>
      </c>
      <c r="G28" s="1">
        <v>12.0</v>
      </c>
      <c r="H28" s="17">
        <f t="shared" si="1"/>
        <v>2.043333333</v>
      </c>
    </row>
    <row r="29">
      <c r="B29" s="26" t="s">
        <v>80</v>
      </c>
      <c r="C29" s="27">
        <v>1.0</v>
      </c>
      <c r="E29" s="27" t="s">
        <v>81</v>
      </c>
      <c r="F29" s="28">
        <v>2.5</v>
      </c>
      <c r="G29" s="27">
        <v>1.0</v>
      </c>
      <c r="H29" s="29">
        <v>1.5</v>
      </c>
    </row>
    <row r="30">
      <c r="F30" s="2"/>
      <c r="H30" s="2">
        <f>SUM(H3:H29)</f>
        <v>12.55981333</v>
      </c>
    </row>
    <row r="31">
      <c r="B31" s="5"/>
      <c r="D31" s="1"/>
      <c r="E31" s="1"/>
      <c r="F31" s="16"/>
      <c r="G31" s="1"/>
      <c r="H31" s="16"/>
    </row>
    <row r="32" ht="15.0" customHeight="1">
      <c r="B32" s="5"/>
      <c r="F32" s="16"/>
      <c r="H32" s="16"/>
    </row>
    <row r="33">
      <c r="B33" s="5" t="s">
        <v>82</v>
      </c>
      <c r="C33" s="6" t="s">
        <v>83</v>
      </c>
      <c r="D33" s="30" t="s">
        <v>84</v>
      </c>
      <c r="E33" s="1" t="s">
        <v>6</v>
      </c>
      <c r="F33" s="16" t="s">
        <v>8</v>
      </c>
      <c r="G33" s="1" t="s">
        <v>10</v>
      </c>
      <c r="H33" s="16" t="s">
        <v>11</v>
      </c>
    </row>
    <row r="34">
      <c r="B34" s="8" t="s">
        <v>85</v>
      </c>
      <c r="C34" s="9">
        <v>90.0</v>
      </c>
      <c r="D34" s="9">
        <v>96.0</v>
      </c>
      <c r="E34" s="10" t="s">
        <v>86</v>
      </c>
      <c r="F34" s="11">
        <v>6.42</v>
      </c>
      <c r="G34" s="9">
        <v>96.0</v>
      </c>
      <c r="H34" s="13">
        <f t="shared" ref="H34:H38" si="2">D34/G34*F34</f>
        <v>6.42</v>
      </c>
      <c r="I34" s="31"/>
    </row>
    <row r="35">
      <c r="B35" s="14" t="s">
        <v>87</v>
      </c>
      <c r="C35" s="1">
        <v>18.5</v>
      </c>
      <c r="D35" s="1">
        <v>18.5</v>
      </c>
      <c r="E35" s="12" t="s">
        <v>17</v>
      </c>
      <c r="F35" s="16">
        <v>8.56</v>
      </c>
      <c r="G35" s="1">
        <v>96.0</v>
      </c>
      <c r="H35" s="17">
        <f t="shared" si="2"/>
        <v>1.649583333</v>
      </c>
      <c r="I35" s="31"/>
    </row>
    <row r="36">
      <c r="B36" s="14" t="s">
        <v>88</v>
      </c>
      <c r="C36" s="1">
        <v>3.5</v>
      </c>
      <c r="D36" s="32">
        <v>3.5</v>
      </c>
      <c r="E36" s="33" t="s">
        <v>17</v>
      </c>
      <c r="F36" s="16">
        <v>8.56</v>
      </c>
      <c r="G36" s="1">
        <v>96.0</v>
      </c>
      <c r="H36" s="17">
        <f t="shared" si="2"/>
        <v>0.3120833333</v>
      </c>
      <c r="I36" s="31"/>
    </row>
    <row r="37">
      <c r="B37" s="14" t="s">
        <v>89</v>
      </c>
      <c r="C37" s="1">
        <v>8.0</v>
      </c>
      <c r="D37" s="32">
        <f>G37/11</f>
        <v>8.727272727</v>
      </c>
      <c r="E37" s="18" t="s">
        <v>30</v>
      </c>
      <c r="F37" s="16">
        <v>29.03</v>
      </c>
      <c r="G37" s="1">
        <v>96.0</v>
      </c>
      <c r="H37" s="17">
        <f t="shared" si="2"/>
        <v>2.639090909</v>
      </c>
      <c r="I37" s="31"/>
    </row>
    <row r="38">
      <c r="B38" s="26" t="s">
        <v>90</v>
      </c>
      <c r="C38" s="27">
        <v>5.5</v>
      </c>
      <c r="D38" s="27">
        <f>G38/8</f>
        <v>6</v>
      </c>
      <c r="E38" s="15" t="s">
        <v>25</v>
      </c>
      <c r="F38" s="28">
        <v>2.03</v>
      </c>
      <c r="G38" s="27">
        <v>48.0</v>
      </c>
      <c r="H38" s="34">
        <f t="shared" si="2"/>
        <v>0.25375</v>
      </c>
      <c r="I38" s="31"/>
    </row>
    <row r="39">
      <c r="F39" s="2">
        <f>sum(F3:F38)-F21</f>
        <v>239.48</v>
      </c>
      <c r="H39" s="2">
        <f>sum(H34:H38)</f>
        <v>11.27450758</v>
      </c>
    </row>
    <row r="40">
      <c r="F40" s="2"/>
      <c r="H40" s="2"/>
    </row>
    <row r="41">
      <c r="C41" s="35"/>
      <c r="D41" s="35"/>
      <c r="E41" s="35"/>
      <c r="F41" s="35"/>
      <c r="G41" s="35"/>
      <c r="H41" s="36"/>
    </row>
  </sheetData>
  <conditionalFormatting sqref="H3:H29">
    <cfRule type="colorScale" priority="1">
      <colorScale>
        <cfvo type="min"/>
        <cfvo type="max"/>
        <color rgb="FFFFFFFF"/>
        <color rgb="FFE67C73"/>
      </colorScale>
    </cfRule>
  </conditionalFormatting>
  <hyperlinks>
    <hyperlink r:id="rId1" ref="E3"/>
    <hyperlink r:id="rId2" ref="E4"/>
    <hyperlink r:id="rId3" ref="E5"/>
    <hyperlink r:id="rId4" ref="E7"/>
    <hyperlink r:id="rId5" ref="E8"/>
    <hyperlink r:id="rId6" ref="E9"/>
    <hyperlink r:id="rId7" ref="E10"/>
    <hyperlink r:id="rId8" ref="E11"/>
    <hyperlink r:id="rId9" ref="E15"/>
    <hyperlink r:id="rId10" ref="E16"/>
    <hyperlink r:id="rId11" ref="E17"/>
    <hyperlink r:id="rId12" ref="E21"/>
    <hyperlink r:id="rId13" ref="E22"/>
    <hyperlink r:id="rId14" ref="E23"/>
    <hyperlink r:id="rId15" ref="E24"/>
    <hyperlink r:id="rId16" ref="E25"/>
    <hyperlink r:id="rId17" ref="E26"/>
    <hyperlink r:id="rId18" ref="E27"/>
    <hyperlink r:id="rId19" ref="E28"/>
    <hyperlink r:id="rId20" ref="E34"/>
    <hyperlink r:id="rId21" ref="E35"/>
    <hyperlink r:id="rId22" ref="E36"/>
    <hyperlink r:id="rId23" ref="E37"/>
    <hyperlink r:id="rId24" ref="E38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6.63"/>
    <col customWidth="1" min="3" max="3" width="7.25"/>
    <col customWidth="1" min="4" max="4" width="34.13"/>
    <col customWidth="1" min="5" max="5" width="9.25"/>
  </cols>
  <sheetData>
    <row r="2">
      <c r="A2" s="3"/>
      <c r="B2" s="5" t="s">
        <v>2</v>
      </c>
      <c r="C2" s="5" t="s">
        <v>4</v>
      </c>
      <c r="D2" s="5" t="s">
        <v>5</v>
      </c>
      <c r="E2" s="5" t="s">
        <v>7</v>
      </c>
      <c r="F2" s="5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1" t="s">
        <v>14</v>
      </c>
      <c r="C3" s="1">
        <v>1.0</v>
      </c>
      <c r="D3" s="1" t="s">
        <v>15</v>
      </c>
      <c r="E3" s="1" t="s">
        <v>16</v>
      </c>
      <c r="F3" s="12" t="s">
        <v>17</v>
      </c>
    </row>
    <row r="4">
      <c r="B4" s="1" t="s">
        <v>19</v>
      </c>
      <c r="C4" s="1">
        <v>1.0</v>
      </c>
      <c r="D4" s="1" t="s">
        <v>15</v>
      </c>
      <c r="E4" s="1" t="s">
        <v>20</v>
      </c>
      <c r="F4" s="12" t="s">
        <v>17</v>
      </c>
    </row>
    <row r="5">
      <c r="B5" s="1" t="s">
        <v>21</v>
      </c>
      <c r="C5" s="1">
        <v>1.0</v>
      </c>
      <c r="D5" s="1" t="s">
        <v>22</v>
      </c>
      <c r="E5" s="1" t="s">
        <v>23</v>
      </c>
      <c r="F5" s="15" t="s">
        <v>25</v>
      </c>
    </row>
    <row r="6">
      <c r="B6" s="1" t="s">
        <v>27</v>
      </c>
      <c r="C6" s="1">
        <v>1.0</v>
      </c>
      <c r="D6" s="1" t="s">
        <v>28</v>
      </c>
      <c r="E6" s="1" t="s">
        <v>29</v>
      </c>
      <c r="F6" s="18" t="s">
        <v>30</v>
      </c>
    </row>
  </sheetData>
  <hyperlinks>
    <hyperlink r:id="rId1" ref="F3"/>
    <hyperlink r:id="rId2" ref="F4"/>
    <hyperlink r:id="rId3" ref="F5"/>
    <hyperlink r:id="rId4" ref="F6"/>
  </hyperlinks>
  <drawing r:id="rId5"/>
</worksheet>
</file>